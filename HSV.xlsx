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x9wb\Downloads\"/>
    </mc:Choice>
  </mc:AlternateContent>
  <xr:revisionPtr revIDLastSave="0" documentId="13_ncr:1_{E4137017-92A2-473E-8125-0620EF92FFD7}" xr6:coauthVersionLast="47" xr6:coauthVersionMax="47" xr10:uidLastSave="{00000000-0000-0000-0000-000000000000}"/>
  <bookViews>
    <workbookView xWindow="29940" yWindow="1470" windowWidth="25725" windowHeight="14625" xr2:uid="{49ABBB2C-0452-420D-8626-219E9EAF2271}"/>
  </bookViews>
  <sheets>
    <sheet name="Final (3)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5" i="5" l="1" a="1"/>
  <c r="AD15" i="5" s="1"/>
  <c r="AF2" i="5"/>
  <c r="AD1" i="5"/>
  <c r="AD5" i="5" s="1"/>
  <c r="AE5" i="5" s="1"/>
  <c r="AF5" i="5" s="1"/>
  <c r="AE2" i="5"/>
  <c r="AK11" i="5"/>
  <c r="AK12" i="5" s="1"/>
  <c r="AI5" i="5"/>
  <c r="AI4" i="5"/>
  <c r="AI6" i="5" s="1"/>
  <c r="AI7" i="5" s="1"/>
  <c r="AI8" i="5" s="1"/>
  <c r="AD3" i="5" l="1"/>
  <c r="AE3" i="5" s="1"/>
  <c r="AF3" i="5" s="1"/>
  <c r="AD4" i="5"/>
  <c r="AE4" i="5" s="1"/>
  <c r="AF4" i="5" s="1"/>
  <c r="AD8" i="5"/>
  <c r="AE8" i="5" s="1"/>
  <c r="AF8" i="5" s="1"/>
  <c r="AD10" i="5"/>
  <c r="AE10" i="5" s="1"/>
  <c r="AF10" i="5" s="1"/>
  <c r="AD6" i="5"/>
  <c r="AE6" i="5" s="1"/>
  <c r="AF6" i="5" s="1"/>
  <c r="AD9" i="5"/>
  <c r="AE9" i="5" s="1"/>
  <c r="AF9" i="5" s="1"/>
  <c r="AD11" i="5"/>
  <c r="AE11" i="5" s="1"/>
  <c r="AF11" i="5" s="1"/>
  <c r="AD12" i="5"/>
  <c r="AE12" i="5" s="1"/>
  <c r="AF12" i="5" s="1"/>
  <c r="AD7" i="5"/>
  <c r="AE7" i="5" s="1"/>
  <c r="AF7" i="5" s="1"/>
  <c r="AD13" i="5"/>
  <c r="AE13" i="5" s="1"/>
  <c r="AF13" i="5" s="1"/>
  <c r="AI9" i="5"/>
  <c r="AI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<sst xmlns="http://schemas.openxmlformats.org/spreadsheetml/2006/main" count="79" uniqueCount="61">
  <si>
    <t>max C</t>
  </si>
  <si>
    <t>L at max</t>
  </si>
  <si>
    <t>Black to Color</t>
  </si>
  <si>
    <t>White to Color</t>
  </si>
  <si>
    <t>Black to White</t>
  </si>
  <si>
    <t>Area</t>
  </si>
  <si>
    <t>Per hex</t>
  </si>
  <si>
    <t>Per side</t>
  </si>
  <si>
    <t>L steps</t>
  </si>
  <si>
    <t>C steps</t>
  </si>
  <si>
    <t>H</t>
  </si>
  <si>
    <t>m32 c15</t>
  </si>
  <si>
    <t>m64 b37 c75</t>
  </si>
  <si>
    <t>0,50</t>
  </si>
  <si>
    <t>full sat line</t>
  </si>
  <si>
    <t>full val line</t>
  </si>
  <si>
    <t>zero sat line</t>
  </si>
  <si>
    <t>val steps</t>
  </si>
  <si>
    <t>sat steps</t>
  </si>
  <si>
    <t>avg light</t>
  </si>
  <si>
    <t>at full value</t>
  </si>
  <si>
    <t>using hue 328</t>
  </si>
  <si>
    <t>100,87</t>
  </si>
  <si>
    <t>100,76</t>
  </si>
  <si>
    <t>100,65</t>
  </si>
  <si>
    <t>100,54</t>
  </si>
  <si>
    <t>100,43</t>
  </si>
  <si>
    <t>100,35</t>
  </si>
  <si>
    <t>100,28</t>
  </si>
  <si>
    <t>100,22</t>
  </si>
  <si>
    <t>100,17</t>
  </si>
  <si>
    <t>100,8</t>
  </si>
  <si>
    <t>Black</t>
  </si>
  <si>
    <t>White</t>
  </si>
  <si>
    <t>etc</t>
  </si>
  <si>
    <t>0,6</t>
  </si>
  <si>
    <t>0,11</t>
  </si>
  <si>
    <t>0,17</t>
  </si>
  <si>
    <t>0,33</t>
  </si>
  <si>
    <t>0,67</t>
  </si>
  <si>
    <t>0,83</t>
  </si>
  <si>
    <t>0,22</t>
  </si>
  <si>
    <t>0,44</t>
  </si>
  <si>
    <t>0,56</t>
  </si>
  <si>
    <t>0,78</t>
  </si>
  <si>
    <t>0,89</t>
  </si>
  <si>
    <t>0,94</t>
  </si>
  <si>
    <t>0,72</t>
  </si>
  <si>
    <t>0,61</t>
  </si>
  <si>
    <t>0,28</t>
  </si>
  <si>
    <t>0,39</t>
  </si>
  <si>
    <t>~81,93</t>
  </si>
  <si>
    <t>~87,87</t>
  </si>
  <si>
    <t>~93,81</t>
  </si>
  <si>
    <t>H+60</t>
  </si>
  <si>
    <t>H+12</t>
  </si>
  <si>
    <t>H+3</t>
  </si>
  <si>
    <t>H-3</t>
  </si>
  <si>
    <t>H-12</t>
  </si>
  <si>
    <t>H-60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</si>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</sst>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sz val="6"/>
      <color theme="0"/>
      <name val="Arial"/>
      <family val="2"/>
    </font>
    <font>
      <i/>
      <sz val="11"/>
      <color theme="1"/>
      <name val="Arial"/>
      <family val="2"/>
    </font>
    <font>
      <sz val="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4CFD"/>
        <bgColor indexed="64"/>
      </patternFill>
    </fill>
    <fill>
      <patternFill patternType="solid">
        <fgColor rgb="FFDC00DC"/>
        <bgColor indexed="64"/>
      </patternFill>
    </fill>
    <fill>
      <patternFill patternType="solid">
        <fgColor rgb="FFBF00BF"/>
        <bgColor indexed="64"/>
      </patternFill>
    </fill>
    <fill>
      <patternFill patternType="solid">
        <fgColor rgb="FFA200A2"/>
        <bgColor indexed="64"/>
      </patternFill>
    </fill>
    <fill>
      <patternFill patternType="solid">
        <fgColor rgb="FF870087"/>
        <bgColor indexed="64"/>
      </patternFill>
    </fill>
    <fill>
      <patternFill patternType="solid">
        <fgColor rgb="FF6C006C"/>
        <bgColor indexed="64"/>
      </patternFill>
    </fill>
    <fill>
      <patternFill patternType="solid">
        <fgColor rgb="FF590059"/>
        <bgColor indexed="64"/>
      </patternFill>
    </fill>
    <fill>
      <patternFill patternType="solid">
        <fgColor rgb="FF480048"/>
        <bgColor indexed="64"/>
      </patternFill>
    </fill>
    <fill>
      <patternFill patternType="solid">
        <fgColor rgb="FF3A003A"/>
        <bgColor indexed="64"/>
      </patternFill>
    </fill>
    <fill>
      <patternFill patternType="solid">
        <fgColor rgb="FF2D002D"/>
        <bgColor indexed="64"/>
      </patternFill>
    </fill>
    <fill>
      <patternFill patternType="solid">
        <fgColor rgb="FF150015"/>
        <bgColor indexed="64"/>
      </patternFill>
    </fill>
    <fill>
      <patternFill patternType="solid">
        <fgColor rgb="FFFF69FC"/>
        <bgColor indexed="64"/>
      </patternFill>
    </fill>
    <fill>
      <patternFill patternType="solid">
        <fgColor rgb="FFFF81FC"/>
        <bgColor indexed="64"/>
      </patternFill>
    </fill>
    <fill>
      <patternFill patternType="solid">
        <fgColor rgb="FFFF97FB"/>
        <bgColor indexed="64"/>
      </patternFill>
    </fill>
    <fill>
      <patternFill patternType="solid">
        <fgColor rgb="FFFFABFB"/>
        <bgColor indexed="64"/>
      </patternFill>
    </fill>
    <fill>
      <patternFill patternType="solid">
        <fgColor rgb="FFFFBAFB"/>
        <bgColor indexed="64"/>
      </patternFill>
    </fill>
    <fill>
      <patternFill patternType="solid">
        <fgColor rgb="FFFFC7FB"/>
        <bgColor indexed="64"/>
      </patternFill>
    </fill>
    <fill>
      <patternFill patternType="solid">
        <fgColor rgb="FFFFD3FC"/>
        <bgColor indexed="64"/>
      </patternFill>
    </fill>
    <fill>
      <patternFill patternType="solid">
        <fgColor rgb="FFFFDCFC"/>
        <bgColor indexed="64"/>
      </patternFill>
    </fill>
    <fill>
      <patternFill patternType="solid">
        <fgColor rgb="FFFFEEFE"/>
        <bgColor indexed="64"/>
      </patternFill>
    </fill>
    <fill>
      <patternFill patternType="solid">
        <fgColor rgb="FFDC40DA"/>
        <bgColor indexed="64"/>
      </patternFill>
    </fill>
    <fill>
      <patternFill patternType="solid">
        <fgColor rgb="FFCC29CB"/>
        <bgColor indexed="64"/>
      </patternFill>
    </fill>
    <fill>
      <patternFill patternType="solid">
        <fgColor rgb="FFEC55EA"/>
        <bgColor indexed="64"/>
      </patternFill>
    </fill>
    <fill>
      <patternFill patternType="solid">
        <fgColor rgb="FFFF00F3"/>
        <bgColor indexed="64"/>
      </patternFill>
    </fill>
    <fill>
      <patternFill patternType="solid">
        <fgColor rgb="FFFF00CD"/>
        <bgColor indexed="64"/>
      </patternFill>
    </fill>
    <fill>
      <patternFill patternType="solid">
        <fgColor rgb="FFFF0014"/>
        <bgColor indexed="64"/>
      </patternFill>
    </fill>
    <fill>
      <patternFill patternType="solid">
        <fgColor rgb="FFF000FF"/>
        <bgColor indexed="64"/>
      </patternFill>
    </fill>
    <fill>
      <patternFill patternType="solid">
        <fgColor rgb="FFCB00FF"/>
        <bgColor indexed="64"/>
      </patternFill>
    </fill>
    <fill>
      <patternFill patternType="solid">
        <fgColor rgb="FF2600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0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0" fillId="0" borderId="0" xfId="0" quotePrefix="1" applyFont="1" applyFill="1" applyAlignment="1">
      <alignment horizontal="center" vertical="center"/>
    </xf>
    <xf numFmtId="10" fontId="2" fillId="0" borderId="0" xfId="1" applyNumberFormat="1" applyFont="1" applyFill="1" applyAlignment="1">
      <alignment horizontal="center" vertical="center"/>
    </xf>
    <xf numFmtId="170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0" fontId="2" fillId="0" borderId="0" xfId="0" quotePrefix="1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3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3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3" fontId="2" fillId="21" borderId="2" xfId="0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3" fontId="2" fillId="22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3" fontId="2" fillId="23" borderId="1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3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3" fontId="2" fillId="30" borderId="1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3" fontId="2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00FF"/>
      <color rgb="FFCB00FF"/>
      <color rgb="FFF000FF"/>
      <color rgb="FFFF0014"/>
      <color rgb="FFFF00CD"/>
      <color rgb="FFFF00F3"/>
      <color rgb="FF777777"/>
      <color rgb="FFEC55EA"/>
      <color rgb="FFCC29CB"/>
      <color rgb="FFDC4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41F5-5B1A-49FC-8771-4734DEE034A2}">
  <dimension ref="A1:AK32"/>
  <sheetViews>
    <sheetView tabSelected="1" zoomScale="205" zoomScaleNormal="205" workbookViewId="0">
      <selection activeCell="J9" sqref="J9:K9"/>
    </sheetView>
  </sheetViews>
  <sheetFormatPr defaultColWidth="1.75" defaultRowHeight="14.25" x14ac:dyDescent="0.2"/>
  <cols>
    <col min="1" max="21" width="1.75" style="1"/>
    <col min="22" max="22" width="2.125" style="1" bestFit="1" customWidth="1"/>
    <col min="23" max="23" width="1.75" style="1"/>
    <col min="24" max="24" width="2.125" style="1" bestFit="1" customWidth="1"/>
    <col min="25" max="25" width="1.75" style="1"/>
    <col min="26" max="28" width="2.125" style="1" bestFit="1" customWidth="1"/>
    <col min="29" max="29" width="2.125" style="1" customWidth="1"/>
    <col min="30" max="30" width="4.625" style="1" customWidth="1"/>
    <col min="31" max="31" width="4" style="17" customWidth="1"/>
    <col min="32" max="32" width="3.125" style="1" customWidth="1"/>
    <col min="33" max="33" width="2.125" style="1" customWidth="1"/>
    <col min="34" max="34" width="12.625" style="11" bestFit="1" customWidth="1"/>
    <col min="35" max="35" width="7.625" style="11" bestFit="1" customWidth="1"/>
    <col min="36" max="36" width="11.5" style="11" bestFit="1" customWidth="1"/>
    <col min="37" max="37" width="8.25" style="11" customWidth="1"/>
    <col min="38" max="16384" width="1.75" style="11"/>
  </cols>
  <sheetData>
    <row r="1" spans="2:37" x14ac:dyDescent="0.2">
      <c r="G1" s="19" t="s">
        <v>21</v>
      </c>
      <c r="I1" s="2"/>
      <c r="K1" s="2"/>
      <c r="M1" s="2"/>
      <c r="O1" s="2"/>
      <c r="Q1" s="2"/>
      <c r="S1" s="2"/>
      <c r="U1" s="2"/>
      <c r="W1" s="2"/>
      <c r="AD1" s="1">
        <f>SUM(AC3:AC15)</f>
        <v>124</v>
      </c>
      <c r="AH1" s="9" t="s">
        <v>0</v>
      </c>
      <c r="AI1" s="10">
        <v>32</v>
      </c>
      <c r="AJ1" s="9" t="s">
        <v>11</v>
      </c>
      <c r="AK1" s="9"/>
    </row>
    <row r="2" spans="2:37" x14ac:dyDescent="0.2">
      <c r="G2" s="63" t="s">
        <v>59</v>
      </c>
      <c r="H2" s="63"/>
      <c r="I2" s="62" t="s">
        <v>58</v>
      </c>
      <c r="J2" s="62"/>
      <c r="K2" s="61" t="s">
        <v>57</v>
      </c>
      <c r="L2" s="61"/>
      <c r="M2" s="3"/>
      <c r="N2" s="3"/>
      <c r="O2" s="20" t="s">
        <v>10</v>
      </c>
      <c r="P2" s="20"/>
      <c r="Q2" s="3"/>
      <c r="R2" s="3"/>
      <c r="S2" s="56" t="s">
        <v>56</v>
      </c>
      <c r="T2" s="56"/>
      <c r="U2" s="57" t="s">
        <v>55</v>
      </c>
      <c r="V2" s="58"/>
      <c r="W2" s="59" t="s">
        <v>54</v>
      </c>
      <c r="X2" s="60"/>
      <c r="AB2" s="1">
        <v>0</v>
      </c>
      <c r="AC2" s="1">
        <v>1</v>
      </c>
      <c r="AD2" s="16"/>
      <c r="AE2" s="17">
        <f>1-SQRT(AD2)</f>
        <v>1</v>
      </c>
      <c r="AF2" s="18">
        <f>AE2*$AI$1</f>
        <v>32</v>
      </c>
      <c r="AH2" s="9" t="s">
        <v>1</v>
      </c>
      <c r="AI2" s="10">
        <v>64</v>
      </c>
      <c r="AJ2" s="9" t="s">
        <v>12</v>
      </c>
      <c r="AK2" s="9"/>
    </row>
    <row r="3" spans="2:37" x14ac:dyDescent="0.2">
      <c r="F3" s="35">
        <v>43100</v>
      </c>
      <c r="G3" s="36"/>
      <c r="H3" s="33">
        <v>54100</v>
      </c>
      <c r="I3" s="34"/>
      <c r="J3" s="31">
        <v>65100</v>
      </c>
      <c r="K3" s="32"/>
      <c r="L3" s="29">
        <v>76100</v>
      </c>
      <c r="M3" s="30"/>
      <c r="N3" s="21">
        <v>87100</v>
      </c>
      <c r="O3" s="22"/>
      <c r="P3" s="23" t="s">
        <v>22</v>
      </c>
      <c r="Q3" s="23"/>
      <c r="R3" s="49" t="s">
        <v>23</v>
      </c>
      <c r="S3" s="49"/>
      <c r="T3" s="50" t="s">
        <v>24</v>
      </c>
      <c r="U3" s="50"/>
      <c r="V3" s="51" t="s">
        <v>25</v>
      </c>
      <c r="W3" s="51"/>
      <c r="X3" s="52" t="s">
        <v>26</v>
      </c>
      <c r="Y3" s="53"/>
      <c r="Z3" s="8"/>
      <c r="AA3" s="8"/>
      <c r="AB3" s="1">
        <v>1</v>
      </c>
      <c r="AC3" s="1">
        <v>2</v>
      </c>
      <c r="AD3" s="16">
        <f>SUM(AC$3:AC3)/$AD$1</f>
        <v>1.6129032258064516E-2</v>
      </c>
      <c r="AE3" s="17">
        <f t="shared" ref="AE3:AE15" si="0">1-SQRT(AD3)</f>
        <v>0.87299987299980952</v>
      </c>
      <c r="AF3" s="18">
        <f t="shared" ref="AF3:AF15" si="1">AE3*$AI$1</f>
        <v>27.935995935993905</v>
      </c>
      <c r="AH3" s="9" t="s">
        <v>4</v>
      </c>
      <c r="AI3" s="10">
        <v>100</v>
      </c>
      <c r="AJ3" s="9" t="s">
        <v>16</v>
      </c>
      <c r="AK3" s="9" t="s">
        <v>17</v>
      </c>
    </row>
    <row r="4" spans="2:37" x14ac:dyDescent="0.2">
      <c r="G4" s="3">
        <v>5</v>
      </c>
      <c r="H4" s="3"/>
      <c r="I4" s="3">
        <v>4</v>
      </c>
      <c r="J4" s="3"/>
      <c r="K4" s="3">
        <v>3</v>
      </c>
      <c r="L4" s="3"/>
      <c r="M4" s="54" t="s">
        <v>51</v>
      </c>
      <c r="N4" s="54"/>
      <c r="O4" s="47" t="s">
        <v>52</v>
      </c>
      <c r="P4" s="47"/>
      <c r="Q4" s="48" t="s">
        <v>53</v>
      </c>
      <c r="R4" s="48"/>
      <c r="S4" s="3">
        <v>3</v>
      </c>
      <c r="T4" s="3"/>
      <c r="U4" s="3">
        <v>4</v>
      </c>
      <c r="V4" s="3"/>
      <c r="W4" s="3">
        <v>5</v>
      </c>
      <c r="X4" s="3"/>
      <c r="AB4" s="1">
        <v>2</v>
      </c>
      <c r="AC4" s="1">
        <v>5</v>
      </c>
      <c r="AD4" s="16">
        <f>SUM(AC$3:AC4)/$AD$1</f>
        <v>5.6451612903225805E-2</v>
      </c>
      <c r="AE4" s="17">
        <f t="shared" si="0"/>
        <v>0.76240451834425427</v>
      </c>
      <c r="AF4" s="18">
        <f t="shared" si="1"/>
        <v>24.396944587016137</v>
      </c>
      <c r="AH4" s="9" t="s">
        <v>2</v>
      </c>
      <c r="AI4" s="12">
        <f>SQRT(2*$AI$1^2+$AI$2^2)</f>
        <v>78.383671769061692</v>
      </c>
      <c r="AJ4" s="9" t="s">
        <v>14</v>
      </c>
      <c r="AK4" s="9" t="s">
        <v>17</v>
      </c>
    </row>
    <row r="5" spans="2:37" x14ac:dyDescent="0.2">
      <c r="F5" s="37">
        <v>35100</v>
      </c>
      <c r="G5" s="38"/>
      <c r="H5" s="4">
        <v>5</v>
      </c>
      <c r="I5" s="5"/>
      <c r="J5" s="4">
        <v>4</v>
      </c>
      <c r="K5" s="5"/>
      <c r="L5" s="4">
        <v>3</v>
      </c>
      <c r="M5" s="5"/>
      <c r="N5" s="4">
        <v>3</v>
      </c>
      <c r="O5" s="5"/>
      <c r="P5" s="4">
        <v>3</v>
      </c>
      <c r="Q5" s="5"/>
      <c r="R5" s="4">
        <v>3</v>
      </c>
      <c r="S5" s="5"/>
      <c r="T5" s="4">
        <v>4</v>
      </c>
      <c r="U5" s="5"/>
      <c r="V5" s="4">
        <v>5</v>
      </c>
      <c r="W5" s="5"/>
      <c r="X5" s="24" t="s">
        <v>27</v>
      </c>
      <c r="Y5" s="24"/>
      <c r="Z5" s="8"/>
      <c r="AA5" s="8"/>
      <c r="AB5" s="1">
        <v>3</v>
      </c>
      <c r="AC5" s="1">
        <v>8</v>
      </c>
      <c r="AD5" s="16">
        <f>SUM(AC$3:AC5)/$AD$1</f>
        <v>0.12096774193548387</v>
      </c>
      <c r="AE5" s="17">
        <f t="shared" si="0"/>
        <v>0.65219582817987387</v>
      </c>
      <c r="AF5" s="18">
        <f t="shared" si="1"/>
        <v>20.870266501755964</v>
      </c>
      <c r="AH5" s="9" t="s">
        <v>3</v>
      </c>
      <c r="AI5" s="12">
        <f>SQRT(2*$AI$1^2+($AI$3-$AI$2)^2)</f>
        <v>57.827329179203844</v>
      </c>
      <c r="AJ5" s="9" t="s">
        <v>15</v>
      </c>
      <c r="AK5" s="9" t="s">
        <v>18</v>
      </c>
    </row>
    <row r="6" spans="2:37" x14ac:dyDescent="0.2">
      <c r="G6" s="3">
        <v>6</v>
      </c>
      <c r="H6" s="3"/>
      <c r="I6" s="3">
        <v>5</v>
      </c>
      <c r="J6" s="3"/>
      <c r="K6" s="3">
        <v>4</v>
      </c>
      <c r="L6" s="3"/>
      <c r="M6" s="3">
        <v>4</v>
      </c>
      <c r="N6" s="3"/>
      <c r="O6" s="3">
        <v>4</v>
      </c>
      <c r="P6" s="3"/>
      <c r="Q6" s="3">
        <v>4</v>
      </c>
      <c r="R6" s="3"/>
      <c r="S6" s="3">
        <v>4</v>
      </c>
      <c r="T6" s="3"/>
      <c r="U6" s="3">
        <v>5</v>
      </c>
      <c r="V6" s="3"/>
      <c r="W6" s="3">
        <v>6</v>
      </c>
      <c r="X6" s="3"/>
      <c r="AB6" s="1">
        <v>4</v>
      </c>
      <c r="AC6" s="1">
        <v>11</v>
      </c>
      <c r="AD6" s="16">
        <f>SUM(AC$3:AC6)/$AD$1</f>
        <v>0.20967741935483872</v>
      </c>
      <c r="AE6" s="17">
        <f t="shared" si="0"/>
        <v>0.54209453011037456</v>
      </c>
      <c r="AF6" s="18">
        <f t="shared" si="1"/>
        <v>17.347024963531986</v>
      </c>
      <c r="AH6" s="9" t="s">
        <v>5</v>
      </c>
      <c r="AI6" s="13">
        <f>_xlfn.LET(_xlpm.s,SUM(AI3:AI5)/2,SQRT(_xlpm.s*(_xlpm.s-AI3)*(_xlpm.s-AI4)*(_xlpm.s-AI5)))</f>
        <v>2262.7416997969522</v>
      </c>
      <c r="AJ6" s="9"/>
      <c r="AK6" s="9"/>
    </row>
    <row r="7" spans="2:37" x14ac:dyDescent="0.2">
      <c r="F7" s="39">
        <v>28100</v>
      </c>
      <c r="G7" s="40"/>
      <c r="H7" s="3">
        <v>6</v>
      </c>
      <c r="I7" s="3"/>
      <c r="J7" s="3">
        <v>5</v>
      </c>
      <c r="K7" s="3"/>
      <c r="L7" s="3">
        <v>5</v>
      </c>
      <c r="M7" s="3"/>
      <c r="N7" s="3">
        <v>5</v>
      </c>
      <c r="O7" s="3"/>
      <c r="P7" s="3">
        <v>5</v>
      </c>
      <c r="Q7" s="3"/>
      <c r="R7" s="3">
        <v>5</v>
      </c>
      <c r="S7" s="3"/>
      <c r="T7" s="3">
        <v>5</v>
      </c>
      <c r="U7" s="3"/>
      <c r="V7" s="3">
        <v>6</v>
      </c>
      <c r="W7" s="3"/>
      <c r="X7" s="25" t="s">
        <v>28</v>
      </c>
      <c r="Y7" s="25"/>
      <c r="Z7" s="8"/>
      <c r="AA7" s="8"/>
      <c r="AB7" s="1">
        <v>5</v>
      </c>
      <c r="AC7" s="1">
        <v>14</v>
      </c>
      <c r="AD7" s="16">
        <f>SUM(AC$3:AC7)/$AD$1</f>
        <v>0.32258064516129031</v>
      </c>
      <c r="AE7" s="17">
        <f t="shared" si="0"/>
        <v>0.43203816575293519</v>
      </c>
      <c r="AF7" s="18">
        <f t="shared" si="1"/>
        <v>13.825221304093926</v>
      </c>
      <c r="AH7" s="9" t="s">
        <v>6</v>
      </c>
      <c r="AI7" s="12">
        <f>AI6/123</f>
        <v>18.396273982089042</v>
      </c>
      <c r="AJ7" s="9"/>
      <c r="AK7" s="9"/>
    </row>
    <row r="8" spans="2:37" x14ac:dyDescent="0.2">
      <c r="G8" s="3">
        <v>7</v>
      </c>
      <c r="H8" s="3"/>
      <c r="I8" s="3">
        <v>6</v>
      </c>
      <c r="J8" s="3"/>
      <c r="K8" s="3">
        <v>6</v>
      </c>
      <c r="L8" s="3"/>
      <c r="M8" s="3">
        <v>6</v>
      </c>
      <c r="N8" s="3"/>
      <c r="O8" s="3">
        <v>6</v>
      </c>
      <c r="P8" s="3"/>
      <c r="Q8" s="3">
        <v>6</v>
      </c>
      <c r="R8" s="3"/>
      <c r="S8" s="3">
        <v>6</v>
      </c>
      <c r="T8" s="3"/>
      <c r="U8" s="3">
        <v>6</v>
      </c>
      <c r="V8" s="3"/>
      <c r="W8" s="3">
        <v>7</v>
      </c>
      <c r="X8" s="3"/>
      <c r="AB8" s="1">
        <v>6</v>
      </c>
      <c r="AC8" s="1">
        <v>13</v>
      </c>
      <c r="AD8" s="16">
        <f>SUM(AC$3:AC8)/$AD$1</f>
        <v>0.42741935483870969</v>
      </c>
      <c r="AE8" s="17">
        <f t="shared" si="0"/>
        <v>0.34622683227383089</v>
      </c>
      <c r="AF8" s="18">
        <f t="shared" si="1"/>
        <v>11.079258632762588</v>
      </c>
      <c r="AH8" s="9" t="s">
        <v>7</v>
      </c>
      <c r="AI8" s="12">
        <f>SQRT(AI7)</f>
        <v>4.2890877797136584</v>
      </c>
      <c r="AJ8" s="9"/>
      <c r="AK8" s="9"/>
    </row>
    <row r="9" spans="2:37" x14ac:dyDescent="0.2">
      <c r="B9" s="3"/>
      <c r="C9" s="3"/>
      <c r="F9" s="41">
        <v>22100</v>
      </c>
      <c r="G9" s="42"/>
      <c r="H9" s="3">
        <v>7</v>
      </c>
      <c r="I9" s="3"/>
      <c r="J9" s="3">
        <v>7</v>
      </c>
      <c r="K9" s="3"/>
      <c r="L9" s="3">
        <v>7</v>
      </c>
      <c r="M9" s="3"/>
      <c r="N9" s="3">
        <v>7</v>
      </c>
      <c r="O9" s="3"/>
      <c r="P9" s="3">
        <v>7</v>
      </c>
      <c r="Q9" s="3"/>
      <c r="R9" s="3">
        <v>7</v>
      </c>
      <c r="S9" s="3"/>
      <c r="T9" s="3">
        <v>7</v>
      </c>
      <c r="U9" s="3"/>
      <c r="V9" s="3">
        <v>7</v>
      </c>
      <c r="W9" s="3"/>
      <c r="X9" s="26" t="s">
        <v>29</v>
      </c>
      <c r="Y9" s="26"/>
      <c r="Z9" s="8"/>
      <c r="AA9" s="8"/>
      <c r="AB9" s="1">
        <v>7</v>
      </c>
      <c r="AC9" s="1">
        <v>12</v>
      </c>
      <c r="AD9" s="16">
        <f>SUM(AC$3:AC9)/$AD$1</f>
        <v>0.52419354838709675</v>
      </c>
      <c r="AE9" s="17">
        <f t="shared" si="0"/>
        <v>0.2759878810495664</v>
      </c>
      <c r="AF9" s="18">
        <f t="shared" si="1"/>
        <v>8.8316121935861247</v>
      </c>
      <c r="AH9" s="9" t="s">
        <v>8</v>
      </c>
      <c r="AI9" s="12">
        <f>AI3/AI8</f>
        <v>23.314980978700337</v>
      </c>
      <c r="AJ9" s="14"/>
      <c r="AK9" s="9"/>
    </row>
    <row r="10" spans="2:37" x14ac:dyDescent="0.2">
      <c r="C10" s="3"/>
      <c r="D10" s="3"/>
      <c r="G10" s="3">
        <v>8</v>
      </c>
      <c r="H10" s="3"/>
      <c r="I10" s="3">
        <v>8</v>
      </c>
      <c r="J10" s="3"/>
      <c r="K10" s="3">
        <v>8</v>
      </c>
      <c r="L10" s="3"/>
      <c r="M10" s="4">
        <v>8</v>
      </c>
      <c r="N10" s="5"/>
      <c r="O10" s="3">
        <v>8</v>
      </c>
      <c r="P10" s="3"/>
      <c r="Q10" s="3">
        <v>8</v>
      </c>
      <c r="R10" s="3"/>
      <c r="S10" s="3">
        <v>8</v>
      </c>
      <c r="T10" s="3"/>
      <c r="U10" s="3">
        <v>8</v>
      </c>
      <c r="V10" s="3"/>
      <c r="W10" s="3">
        <v>8</v>
      </c>
      <c r="X10" s="3"/>
      <c r="AB10" s="1">
        <v>8</v>
      </c>
      <c r="AC10" s="1">
        <v>11</v>
      </c>
      <c r="AD10" s="16">
        <f>SUM(AC$3:AC10)/$AD$1</f>
        <v>0.61290322580645162</v>
      </c>
      <c r="AE10" s="17">
        <f t="shared" si="0"/>
        <v>0.21711863874118731</v>
      </c>
      <c r="AF10" s="18">
        <f t="shared" si="1"/>
        <v>6.9477964397179939</v>
      </c>
      <c r="AH10" s="9" t="s">
        <v>9</v>
      </c>
      <c r="AI10" s="12">
        <f>AI1/AI8*SQRT(2)</f>
        <v>10.551155938095601</v>
      </c>
      <c r="AJ10" s="15"/>
    </row>
    <row r="11" spans="2:37" x14ac:dyDescent="0.2">
      <c r="B11" s="3"/>
      <c r="C11" s="3"/>
      <c r="F11" s="43">
        <v>17100</v>
      </c>
      <c r="G11" s="44"/>
      <c r="H11" s="3">
        <v>9</v>
      </c>
      <c r="I11" s="3"/>
      <c r="J11" s="3">
        <v>9</v>
      </c>
      <c r="K11" s="3"/>
      <c r="L11" s="4">
        <v>9</v>
      </c>
      <c r="M11" s="5"/>
      <c r="N11" s="3">
        <v>9</v>
      </c>
      <c r="O11" s="3"/>
      <c r="P11" s="3">
        <v>9</v>
      </c>
      <c r="Q11" s="3"/>
      <c r="R11" s="3">
        <v>9</v>
      </c>
      <c r="S11" s="3"/>
      <c r="T11" s="3">
        <v>9</v>
      </c>
      <c r="U11" s="3"/>
      <c r="V11" s="3">
        <v>9</v>
      </c>
      <c r="W11" s="3"/>
      <c r="X11" s="27" t="s">
        <v>30</v>
      </c>
      <c r="Y11" s="27"/>
      <c r="Z11" s="8"/>
      <c r="AA11" s="8"/>
      <c r="AB11" s="1">
        <v>9</v>
      </c>
      <c r="AC11" s="1">
        <v>10</v>
      </c>
      <c r="AD11" s="16">
        <f>SUM(AC$3:AC11)/$AD$1</f>
        <v>0.69354838709677424</v>
      </c>
      <c r="AE11" s="17">
        <f t="shared" si="0"/>
        <v>0.16720447461770416</v>
      </c>
      <c r="AF11" s="18">
        <f t="shared" si="1"/>
        <v>5.350543187766533</v>
      </c>
      <c r="AH11" s="9"/>
      <c r="AI11" s="12"/>
      <c r="AK11" s="11">
        <f>19*7</f>
        <v>133</v>
      </c>
    </row>
    <row r="12" spans="2:37" x14ac:dyDescent="0.2">
      <c r="C12" s="3"/>
      <c r="D12" s="3"/>
      <c r="G12" s="3" t="s">
        <v>60</v>
      </c>
      <c r="H12" s="3"/>
      <c r="I12" s="4" t="s">
        <v>60</v>
      </c>
      <c r="J12" s="5"/>
      <c r="K12" s="3" t="s">
        <v>60</v>
      </c>
      <c r="L12" s="3"/>
      <c r="M12" s="3" t="s">
        <v>60</v>
      </c>
      <c r="N12" s="3"/>
      <c r="O12" s="3" t="s">
        <v>60</v>
      </c>
      <c r="P12" s="3"/>
      <c r="Q12" s="3" t="s">
        <v>60</v>
      </c>
      <c r="R12" s="3"/>
      <c r="S12" s="3" t="s">
        <v>60</v>
      </c>
      <c r="T12" s="3"/>
      <c r="U12" s="3" t="s">
        <v>60</v>
      </c>
      <c r="V12" s="3"/>
      <c r="W12" s="3" t="s">
        <v>60</v>
      </c>
      <c r="X12" s="3"/>
      <c r="AB12" s="1" t="s">
        <v>60</v>
      </c>
      <c r="AC12" s="1">
        <v>19</v>
      </c>
      <c r="AD12" s="16">
        <f>SUM(AC$3:AC12)/$AD$1</f>
        <v>0.84677419354838712</v>
      </c>
      <c r="AE12" s="17">
        <f t="shared" si="0"/>
        <v>7.9796656413166911E-2</v>
      </c>
      <c r="AF12" s="18">
        <f t="shared" si="1"/>
        <v>2.5534930052213411</v>
      </c>
      <c r="AH12" s="7"/>
      <c r="AK12" s="11">
        <f>AK11-10</f>
        <v>123</v>
      </c>
    </row>
    <row r="13" spans="2:37" x14ac:dyDescent="0.2">
      <c r="B13" s="3"/>
      <c r="C13" s="3"/>
      <c r="F13" s="45">
        <v>8100</v>
      </c>
      <c r="G13" s="46"/>
      <c r="H13" s="3" t="s">
        <v>60</v>
      </c>
      <c r="I13" s="3"/>
      <c r="J13" s="3" t="s">
        <v>60</v>
      </c>
      <c r="K13" s="3"/>
      <c r="L13" s="3" t="s">
        <v>60</v>
      </c>
      <c r="M13" s="3"/>
      <c r="N13" s="3" t="s">
        <v>60</v>
      </c>
      <c r="O13" s="3"/>
      <c r="P13" s="3" t="s">
        <v>60</v>
      </c>
      <c r="Q13" s="3"/>
      <c r="R13" s="3" t="s">
        <v>60</v>
      </c>
      <c r="S13" s="3"/>
      <c r="T13" s="3" t="s">
        <v>60</v>
      </c>
      <c r="U13" s="3"/>
      <c r="V13" s="3" t="s">
        <v>60</v>
      </c>
      <c r="W13" s="3"/>
      <c r="X13" s="28" t="s">
        <v>31</v>
      </c>
      <c r="Y13" s="28"/>
      <c r="Z13" s="8"/>
      <c r="AA13" s="8"/>
      <c r="AC13" s="1">
        <v>19</v>
      </c>
      <c r="AD13" s="16">
        <f>SUM(AC$3:AC13)/$AD$1</f>
        <v>1</v>
      </c>
      <c r="AE13" s="17">
        <f t="shared" si="0"/>
        <v>0</v>
      </c>
      <c r="AF13" s="18">
        <f t="shared" si="1"/>
        <v>0</v>
      </c>
      <c r="AH13" s="7"/>
      <c r="AK13" s="11" t="s">
        <v>19</v>
      </c>
    </row>
    <row r="14" spans="2:37" x14ac:dyDescent="0.2">
      <c r="C14" s="3"/>
      <c r="D14" s="3"/>
      <c r="G14" s="3" t="s">
        <v>46</v>
      </c>
      <c r="H14" s="3"/>
      <c r="I14" s="3" t="s">
        <v>40</v>
      </c>
      <c r="J14" s="3"/>
      <c r="K14" s="3" t="s">
        <v>47</v>
      </c>
      <c r="L14" s="3"/>
      <c r="M14" s="3" t="s">
        <v>48</v>
      </c>
      <c r="N14" s="3"/>
      <c r="O14" s="55" t="s">
        <v>13</v>
      </c>
      <c r="P14" s="55"/>
      <c r="Q14" s="3" t="s">
        <v>50</v>
      </c>
      <c r="R14" s="3"/>
      <c r="S14" s="3" t="s">
        <v>49</v>
      </c>
      <c r="T14" s="3"/>
      <c r="U14" s="3" t="s">
        <v>37</v>
      </c>
      <c r="V14" s="3"/>
      <c r="W14" s="3" t="s">
        <v>35</v>
      </c>
      <c r="X14" s="3"/>
      <c r="AD14" s="16"/>
      <c r="AF14" s="18"/>
      <c r="AK14" s="11" t="s">
        <v>20</v>
      </c>
    </row>
    <row r="15" spans="2:37" x14ac:dyDescent="0.2">
      <c r="B15" s="3"/>
      <c r="C15" s="3"/>
      <c r="F15" s="3" t="s">
        <v>33</v>
      </c>
      <c r="G15" s="3"/>
      <c r="H15" s="3" t="s">
        <v>45</v>
      </c>
      <c r="I15" s="3"/>
      <c r="J15" s="3" t="s">
        <v>44</v>
      </c>
      <c r="K15" s="3"/>
      <c r="L15" s="3" t="s">
        <v>39</v>
      </c>
      <c r="M15" s="3"/>
      <c r="N15" s="3" t="s">
        <v>43</v>
      </c>
      <c r="O15" s="3"/>
      <c r="P15" s="3" t="s">
        <v>42</v>
      </c>
      <c r="Q15" s="3"/>
      <c r="R15" s="3" t="s">
        <v>38</v>
      </c>
      <c r="S15" s="3"/>
      <c r="T15" s="3" t="s">
        <v>41</v>
      </c>
      <c r="U15" s="3"/>
      <c r="V15" s="3" t="s">
        <v>36</v>
      </c>
      <c r="W15" s="3"/>
      <c r="X15" s="6" t="s">
        <v>32</v>
      </c>
      <c r="Y15" s="6"/>
      <c r="Z15" s="8"/>
      <c r="AA15" s="8"/>
      <c r="AD15" s="16" cm="1">
        <f t="array" ref="AD15:AD32">_xlfn.SEQUENCE(18)/18</f>
        <v>5.5555555555555552E-2</v>
      </c>
      <c r="AF15" s="18"/>
      <c r="AK15" s="11">
        <v>60</v>
      </c>
    </row>
    <row r="16" spans="2:37" x14ac:dyDescent="0.2">
      <c r="F16" s="2"/>
      <c r="H16" s="2"/>
      <c r="J16" s="2"/>
      <c r="L16" s="2"/>
      <c r="N16" s="2"/>
      <c r="O16" s="1" t="s">
        <v>34</v>
      </c>
      <c r="P16" s="2"/>
      <c r="R16" s="2"/>
      <c r="T16" s="2"/>
      <c r="V16" s="2"/>
      <c r="X16" s="2"/>
      <c r="AD16" s="1">
        <v>0.1111111111111111</v>
      </c>
    </row>
    <row r="17" spans="7:30" x14ac:dyDescent="0.2">
      <c r="G17" s="2"/>
      <c r="I17" s="2"/>
      <c r="K17" s="2"/>
      <c r="M17" s="2"/>
      <c r="O17" s="2"/>
      <c r="Q17" s="2"/>
      <c r="S17" s="2"/>
      <c r="U17" s="2"/>
      <c r="W17" s="2"/>
      <c r="AD17" s="1">
        <v>0.16666666666666666</v>
      </c>
    </row>
    <row r="18" spans="7:30" x14ac:dyDescent="0.2">
      <c r="AD18" s="1">
        <v>0.22222222222222221</v>
      </c>
    </row>
    <row r="19" spans="7:30" x14ac:dyDescent="0.2">
      <c r="AD19" s="1">
        <v>0.27777777777777779</v>
      </c>
    </row>
    <row r="20" spans="7:30" x14ac:dyDescent="0.2">
      <c r="AD20" s="1">
        <v>0.33333333333333331</v>
      </c>
    </row>
    <row r="21" spans="7:30" x14ac:dyDescent="0.2">
      <c r="AD21" s="1">
        <v>0.3888888888888889</v>
      </c>
    </row>
    <row r="22" spans="7:30" x14ac:dyDescent="0.2">
      <c r="AD22" s="1">
        <v>0.44444444444444442</v>
      </c>
    </row>
    <row r="23" spans="7:30" x14ac:dyDescent="0.2">
      <c r="AD23" s="1">
        <v>0.5</v>
      </c>
    </row>
    <row r="24" spans="7:30" x14ac:dyDescent="0.2">
      <c r="AD24" s="1">
        <v>0.55555555555555558</v>
      </c>
    </row>
    <row r="25" spans="7:30" x14ac:dyDescent="0.2">
      <c r="AD25" s="1">
        <v>0.61111111111111116</v>
      </c>
    </row>
    <row r="26" spans="7:30" x14ac:dyDescent="0.2">
      <c r="AD26" s="1">
        <v>0.66666666666666663</v>
      </c>
    </row>
    <row r="27" spans="7:30" x14ac:dyDescent="0.2">
      <c r="AD27" s="1">
        <v>0.72222222222222221</v>
      </c>
    </row>
    <row r="28" spans="7:30" x14ac:dyDescent="0.2">
      <c r="AD28" s="1">
        <v>0.77777777777777779</v>
      </c>
    </row>
    <row r="29" spans="7:30" x14ac:dyDescent="0.2">
      <c r="AD29" s="1">
        <v>0.83333333333333337</v>
      </c>
    </row>
    <row r="30" spans="7:30" x14ac:dyDescent="0.2">
      <c r="AD30" s="1">
        <v>0.88888888888888884</v>
      </c>
    </row>
    <row r="31" spans="7:30" x14ac:dyDescent="0.2">
      <c r="AD31" s="1">
        <v>0.94444444444444442</v>
      </c>
    </row>
    <row r="32" spans="7:30" x14ac:dyDescent="0.2">
      <c r="AD32" s="1">
        <v>1</v>
      </c>
    </row>
  </sheetData>
  <mergeCells count="140">
    <mergeCell ref="N15:O15"/>
    <mergeCell ref="P15:Q15"/>
    <mergeCell ref="R15:S15"/>
    <mergeCell ref="T15:U15"/>
    <mergeCell ref="V15:W15"/>
    <mergeCell ref="X15:Y15"/>
    <mergeCell ref="O14:P14"/>
    <mergeCell ref="Q14:R14"/>
    <mergeCell ref="S14:T14"/>
    <mergeCell ref="U14:V14"/>
    <mergeCell ref="W14:X14"/>
    <mergeCell ref="B15:C15"/>
    <mergeCell ref="F15:G15"/>
    <mergeCell ref="H15:I15"/>
    <mergeCell ref="J15:K15"/>
    <mergeCell ref="L15:M15"/>
    <mergeCell ref="P13:Q13"/>
    <mergeCell ref="R13:S13"/>
    <mergeCell ref="T13:U13"/>
    <mergeCell ref="V13:W13"/>
    <mergeCell ref="X13:Y13"/>
    <mergeCell ref="C14:D14"/>
    <mergeCell ref="G14:H14"/>
    <mergeCell ref="I14:J14"/>
    <mergeCell ref="K14:L14"/>
    <mergeCell ref="M14:N14"/>
    <mergeCell ref="Q12:R12"/>
    <mergeCell ref="S12:T12"/>
    <mergeCell ref="U12:V12"/>
    <mergeCell ref="W12:X12"/>
    <mergeCell ref="B13:C13"/>
    <mergeCell ref="F13:G13"/>
    <mergeCell ref="H13:I13"/>
    <mergeCell ref="J13:K13"/>
    <mergeCell ref="L13:M13"/>
    <mergeCell ref="N13:O13"/>
    <mergeCell ref="C12:D12"/>
    <mergeCell ref="G12:H12"/>
    <mergeCell ref="I12:J12"/>
    <mergeCell ref="K12:L12"/>
    <mergeCell ref="M12:N12"/>
    <mergeCell ref="O12:P12"/>
    <mergeCell ref="N11:O11"/>
    <mergeCell ref="P11:Q11"/>
    <mergeCell ref="R11:S11"/>
    <mergeCell ref="T11:U11"/>
    <mergeCell ref="V11:W11"/>
    <mergeCell ref="X11:Y11"/>
    <mergeCell ref="O10:P10"/>
    <mergeCell ref="Q10:R10"/>
    <mergeCell ref="S10:T10"/>
    <mergeCell ref="U10:V10"/>
    <mergeCell ref="W10:X10"/>
    <mergeCell ref="B11:C11"/>
    <mergeCell ref="F11:G11"/>
    <mergeCell ref="H11:I11"/>
    <mergeCell ref="J11:K11"/>
    <mergeCell ref="L11:M11"/>
    <mergeCell ref="P9:Q9"/>
    <mergeCell ref="R9:S9"/>
    <mergeCell ref="T9:U9"/>
    <mergeCell ref="V9:W9"/>
    <mergeCell ref="X9:Y9"/>
    <mergeCell ref="C10:D10"/>
    <mergeCell ref="G10:H10"/>
    <mergeCell ref="I10:J10"/>
    <mergeCell ref="K10:L10"/>
    <mergeCell ref="M10:N10"/>
    <mergeCell ref="B9:C9"/>
    <mergeCell ref="F9:G9"/>
    <mergeCell ref="H9:I9"/>
    <mergeCell ref="J9:K9"/>
    <mergeCell ref="L9:M9"/>
    <mergeCell ref="N9:O9"/>
    <mergeCell ref="X7:Y7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W6:X6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V5:W5"/>
    <mergeCell ref="X5:Y5"/>
    <mergeCell ref="G6:H6"/>
    <mergeCell ref="I6:J6"/>
    <mergeCell ref="K6:L6"/>
    <mergeCell ref="M6:N6"/>
    <mergeCell ref="O6:P6"/>
    <mergeCell ref="Q6:R6"/>
    <mergeCell ref="S6:T6"/>
    <mergeCell ref="U6:V6"/>
    <mergeCell ref="U4:V4"/>
    <mergeCell ref="W4:X4"/>
    <mergeCell ref="F5:G5"/>
    <mergeCell ref="H5:I5"/>
    <mergeCell ref="J5:K5"/>
    <mergeCell ref="L5:M5"/>
    <mergeCell ref="N5:O5"/>
    <mergeCell ref="P5:Q5"/>
    <mergeCell ref="R5:S5"/>
    <mergeCell ref="T5:U5"/>
    <mergeCell ref="T3:U3"/>
    <mergeCell ref="V3:W3"/>
    <mergeCell ref="X3:Y3"/>
    <mergeCell ref="G4:H4"/>
    <mergeCell ref="I4:J4"/>
    <mergeCell ref="K4:L4"/>
    <mergeCell ref="M4:N4"/>
    <mergeCell ref="O4:P4"/>
    <mergeCell ref="Q4:R4"/>
    <mergeCell ref="S4:T4"/>
    <mergeCell ref="S2:T2"/>
    <mergeCell ref="U2:V2"/>
    <mergeCell ref="W2:X2"/>
    <mergeCell ref="F3:G3"/>
    <mergeCell ref="H3:I3"/>
    <mergeCell ref="J3:K3"/>
    <mergeCell ref="L3:M3"/>
    <mergeCell ref="N3:O3"/>
    <mergeCell ref="P3:Q3"/>
    <mergeCell ref="R3:S3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(3)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 Nicholas K</dc:creator>
  <cp:lastModifiedBy>Fox Nicholas K</cp:lastModifiedBy>
  <dcterms:created xsi:type="dcterms:W3CDTF">2025-02-25T20:28:26Z</dcterms:created>
  <dcterms:modified xsi:type="dcterms:W3CDTF">2025-02-25T22:59:50Z</dcterms:modified>
</cp:coreProperties>
</file>